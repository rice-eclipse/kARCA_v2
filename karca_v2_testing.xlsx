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\Documents\kARCA_v2\"/>
    </mc:Choice>
  </mc:AlternateContent>
  <xr:revisionPtr revIDLastSave="0" documentId="13_ncr:1_{71C1337C-09EA-40E0-BD80-C1B39C8D4D28}" xr6:coauthVersionLast="47" xr6:coauthVersionMax="47" xr10:uidLastSave="{00000000-0000-0000-0000-000000000000}"/>
  <bookViews>
    <workbookView xWindow="1790" yWindow="1830" windowWidth="18150" windowHeight="7270" xr2:uid="{9DD3C288-D188-4B64-8C3D-0D87CD283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G54" i="1"/>
  <c r="D51" i="1"/>
  <c r="D52" i="1"/>
  <c r="G51" i="1"/>
  <c r="G52" i="1"/>
  <c r="G53" i="1"/>
  <c r="D50" i="1"/>
  <c r="G50" i="1"/>
  <c r="G38" i="1"/>
  <c r="D38" i="1" s="1"/>
  <c r="G37" i="1"/>
  <c r="G36" i="1"/>
  <c r="G43" i="1"/>
  <c r="G44" i="1"/>
  <c r="G45" i="1"/>
  <c r="G46" i="1"/>
  <c r="G42" i="1"/>
  <c r="I14" i="1"/>
  <c r="L33" i="1"/>
  <c r="K33" i="1"/>
  <c r="I12" i="1"/>
  <c r="D12" i="1"/>
  <c r="D13" i="1"/>
  <c r="D14" i="1"/>
  <c r="D15" i="1"/>
  <c r="D16" i="1"/>
  <c r="D17" i="1"/>
  <c r="D18" i="1"/>
  <c r="D11" i="1"/>
  <c r="J10" i="1"/>
  <c r="B12" i="1"/>
  <c r="B13" i="1"/>
  <c r="B14" i="1"/>
  <c r="B15" i="1"/>
  <c r="B16" i="1"/>
  <c r="B17" i="1"/>
  <c r="B18" i="1"/>
  <c r="B11" i="1"/>
  <c r="M16" i="1"/>
  <c r="C29" i="1"/>
  <c r="C30" i="1"/>
  <c r="C31" i="1"/>
  <c r="C32" i="1"/>
  <c r="C28" i="1"/>
  <c r="H23" i="1"/>
  <c r="H22" i="1"/>
  <c r="C23" i="1"/>
  <c r="C24" i="1"/>
  <c r="C22" i="1"/>
  <c r="I3" i="1"/>
  <c r="E4" i="1"/>
  <c r="H4" i="1" s="1"/>
  <c r="E5" i="1"/>
  <c r="H5" i="1" s="1"/>
  <c r="E6" i="1"/>
  <c r="H6" i="1" s="1"/>
  <c r="E7" i="1"/>
  <c r="H7" i="1" s="1"/>
  <c r="E3" i="1"/>
  <c r="H3" i="1" s="1"/>
  <c r="C4" i="1"/>
  <c r="G4" i="1" s="1"/>
  <c r="C5" i="1"/>
  <c r="C6" i="1"/>
  <c r="C7" i="1"/>
  <c r="C3" i="1"/>
  <c r="G3" i="1" s="1"/>
  <c r="B4" i="1"/>
  <c r="B5" i="1"/>
  <c r="B6" i="1"/>
  <c r="B7" i="1"/>
  <c r="B3" i="1"/>
</calcChain>
</file>

<file path=xl/sharedStrings.xml><?xml version="1.0" encoding="utf-8"?>
<sst xmlns="http://schemas.openxmlformats.org/spreadsheetml/2006/main" count="80" uniqueCount="66">
  <si>
    <t>Current</t>
  </si>
  <si>
    <t>Resistor</t>
  </si>
  <si>
    <t>Intermediate voltage</t>
  </si>
  <si>
    <t>Actual output</t>
  </si>
  <si>
    <t>Diff</t>
  </si>
  <si>
    <t>dsfgvdfdc</t>
  </si>
  <si>
    <t>Pressure Transducer</t>
  </si>
  <si>
    <t>Expected Output Voltge</t>
  </si>
  <si>
    <t>Vdm</t>
  </si>
  <si>
    <t>Expected Vout</t>
  </si>
  <si>
    <t>Actual Vout</t>
  </si>
  <si>
    <t>Checklist</t>
  </si>
  <si>
    <t>PT</t>
  </si>
  <si>
    <t>LC</t>
  </si>
  <si>
    <t>Comments</t>
  </si>
  <si>
    <t>Legend</t>
  </si>
  <si>
    <t>Not working at all</t>
  </si>
  <si>
    <t>Wonky readings</t>
  </si>
  <si>
    <t>Working</t>
  </si>
  <si>
    <t>Drivers</t>
  </si>
  <si>
    <t>Battery_monitoring_voltage</t>
  </si>
  <si>
    <t>Batter_current_sense</t>
  </si>
  <si>
    <t>Driver_current_sense</t>
  </si>
  <si>
    <t>Battery Current Monitoring</t>
  </si>
  <si>
    <t>State</t>
  </si>
  <si>
    <t>Output Voltage</t>
  </si>
  <si>
    <t>off</t>
  </si>
  <si>
    <t>On</t>
  </si>
  <si>
    <t>1 Driver</t>
  </si>
  <si>
    <t>Battery Voltage Monitoring</t>
  </si>
  <si>
    <t>on</t>
  </si>
  <si>
    <t>Output voltage</t>
  </si>
  <si>
    <t>Battery voltage measurement</t>
  </si>
  <si>
    <t>Driver Current Monitoring</t>
  </si>
  <si>
    <t>D1</t>
  </si>
  <si>
    <t>D2</t>
  </si>
  <si>
    <t>Voltage</t>
  </si>
  <si>
    <t>Current measurement</t>
  </si>
  <si>
    <t>D3</t>
  </si>
  <si>
    <t>D4</t>
  </si>
  <si>
    <t>D5</t>
  </si>
  <si>
    <t>Current Sense resistor is shorting to screw terminal</t>
  </si>
  <si>
    <t>Load Cell (Proxima)</t>
  </si>
  <si>
    <t>Fixed Resistor</t>
  </si>
  <si>
    <t>ADC1 (U34)</t>
  </si>
  <si>
    <t>Parameter</t>
  </si>
  <si>
    <t>Expected Value</t>
  </si>
  <si>
    <t>Actual Value</t>
  </si>
  <si>
    <t>Battery Current</t>
  </si>
  <si>
    <t>Battery Voltage</t>
  </si>
  <si>
    <t>Driver 5 Current</t>
  </si>
  <si>
    <t>ADC Value</t>
  </si>
  <si>
    <t>ADC2(U3)</t>
  </si>
  <si>
    <t>ADC2 (U3)</t>
  </si>
  <si>
    <t>LC_Amplification3</t>
  </si>
  <si>
    <t>ADC3(U11)</t>
  </si>
  <si>
    <t>ADC3 (U11)</t>
  </si>
  <si>
    <t>DRV3</t>
  </si>
  <si>
    <t>DRV2</t>
  </si>
  <si>
    <t>DRV1</t>
  </si>
  <si>
    <t>DRV4</t>
  </si>
  <si>
    <t>PT2</t>
  </si>
  <si>
    <t>PT3</t>
  </si>
  <si>
    <t>PT0</t>
  </si>
  <si>
    <t>PT1</t>
  </si>
  <si>
    <t>pt is having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</si>
</sst>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11DD-F165-47C3-8FE1-CF4160B1F7AD}">
  <dimension ref="A1:R58"/>
  <sheetViews>
    <sheetView tabSelected="1" topLeftCell="A49" zoomScale="79" workbookViewId="0">
      <selection activeCell="S56" sqref="S56"/>
    </sheetView>
  </sheetViews>
  <sheetFormatPr defaultRowHeight="14.5" x14ac:dyDescent="0.35"/>
  <sheetData>
    <row r="1" spans="1:18" x14ac:dyDescent="0.35">
      <c r="A1" s="8" t="s">
        <v>6</v>
      </c>
      <c r="B1" s="8"/>
      <c r="C1" s="8"/>
      <c r="D1" s="8"/>
      <c r="E1" s="8"/>
      <c r="F1" s="8"/>
      <c r="G1" s="8"/>
      <c r="H1" s="8"/>
      <c r="M1" s="8" t="s">
        <v>11</v>
      </c>
      <c r="N1" s="8"/>
      <c r="O1" t="s">
        <v>14</v>
      </c>
      <c r="Q1" t="s">
        <v>15</v>
      </c>
    </row>
    <row r="2" spans="1:18" x14ac:dyDescent="0.35">
      <c r="A2" t="s">
        <v>0</v>
      </c>
      <c r="B2" t="s">
        <v>1</v>
      </c>
      <c r="C2" s="3" t="s">
        <v>7</v>
      </c>
      <c r="D2" s="3"/>
      <c r="E2" t="s">
        <v>2</v>
      </c>
      <c r="F2" s="3" t="s">
        <v>3</v>
      </c>
      <c r="G2" t="s">
        <v>4</v>
      </c>
      <c r="M2" t="s">
        <v>12</v>
      </c>
      <c r="N2" s="3"/>
      <c r="Q2" s="5"/>
      <c r="R2" t="s">
        <v>16</v>
      </c>
    </row>
    <row r="3" spans="1:18" x14ac:dyDescent="0.35">
      <c r="A3" s="1">
        <v>4.0000000000000001E-3</v>
      </c>
      <c r="B3" s="1">
        <f>12/A3</f>
        <v>3000</v>
      </c>
      <c r="C3" s="4">
        <f>A3*240</f>
        <v>0.96</v>
      </c>
      <c r="D3" s="4"/>
      <c r="E3" s="1">
        <f>A3*30</f>
        <v>0.12</v>
      </c>
      <c r="F3" s="3">
        <v>1.66</v>
      </c>
      <c r="G3" s="1">
        <f>F3-C3</f>
        <v>0.7</v>
      </c>
      <c r="H3" s="1">
        <f t="shared" ref="H3:H4" si="0">F3/E3</f>
        <v>13.833333333333334</v>
      </c>
      <c r="I3">
        <f>1.6/0.12</f>
        <v>13.333333333333334</v>
      </c>
      <c r="M3" t="s">
        <v>13</v>
      </c>
      <c r="N3" s="7"/>
      <c r="Q3" s="3"/>
      <c r="R3" t="s">
        <v>17</v>
      </c>
    </row>
    <row r="4" spans="1:18" x14ac:dyDescent="0.35">
      <c r="A4" s="1">
        <v>8.0000000000000002E-3</v>
      </c>
      <c r="B4" s="1">
        <f t="shared" ref="B4:B7" si="1">12/A4</f>
        <v>1500</v>
      </c>
      <c r="C4" s="4">
        <f t="shared" ref="C4:C7" si="2">A4*240</f>
        <v>1.92</v>
      </c>
      <c r="D4" s="4"/>
      <c r="E4" s="1">
        <f t="shared" ref="E4:E7" si="3">A4*30</f>
        <v>0.24</v>
      </c>
      <c r="F4" s="3">
        <v>2.169</v>
      </c>
      <c r="G4" s="1">
        <f>F4-C4</f>
        <v>0.24900000000000011</v>
      </c>
      <c r="H4" s="1">
        <f t="shared" si="0"/>
        <v>9.0374999999999996</v>
      </c>
      <c r="M4" t="s">
        <v>19</v>
      </c>
      <c r="N4" s="6"/>
      <c r="Q4" s="6"/>
      <c r="R4" t="s">
        <v>18</v>
      </c>
    </row>
    <row r="5" spans="1:18" x14ac:dyDescent="0.35">
      <c r="A5" s="1">
        <v>1.2E-2</v>
      </c>
      <c r="B5" s="1">
        <f t="shared" si="1"/>
        <v>1000</v>
      </c>
      <c r="C5" s="4">
        <f t="shared" si="2"/>
        <v>2.88</v>
      </c>
      <c r="D5" s="4"/>
      <c r="E5" s="1">
        <f t="shared" si="3"/>
        <v>0.36</v>
      </c>
      <c r="F5" s="3">
        <v>2.56</v>
      </c>
      <c r="H5" s="1">
        <f>F5/E5</f>
        <v>7.1111111111111116</v>
      </c>
      <c r="M5" t="s">
        <v>20</v>
      </c>
      <c r="N5" s="3"/>
    </row>
    <row r="6" spans="1:18" x14ac:dyDescent="0.35">
      <c r="A6" s="1">
        <v>1.6E-2</v>
      </c>
      <c r="B6" s="1">
        <f t="shared" si="1"/>
        <v>750</v>
      </c>
      <c r="C6" s="4">
        <f t="shared" si="2"/>
        <v>3.84</v>
      </c>
      <c r="D6" s="4"/>
      <c r="E6" s="1">
        <f t="shared" si="3"/>
        <v>0.48</v>
      </c>
      <c r="F6" s="3">
        <v>3.0270000000000001</v>
      </c>
      <c r="H6" s="1">
        <f>F6/E6</f>
        <v>6.3062500000000004</v>
      </c>
      <c r="M6" t="s">
        <v>21</v>
      </c>
      <c r="N6" s="7"/>
    </row>
    <row r="7" spans="1:18" x14ac:dyDescent="0.35">
      <c r="A7" s="1">
        <v>0.02</v>
      </c>
      <c r="B7" s="1">
        <f t="shared" si="1"/>
        <v>600</v>
      </c>
      <c r="C7" s="4">
        <f t="shared" si="2"/>
        <v>4.8</v>
      </c>
      <c r="D7" s="4"/>
      <c r="E7" s="1">
        <f t="shared" si="3"/>
        <v>0.6</v>
      </c>
      <c r="F7" s="3">
        <v>4.7</v>
      </c>
      <c r="G7" t="s">
        <v>5</v>
      </c>
      <c r="H7" s="1">
        <f>F7/E7</f>
        <v>7.8333333333333339</v>
      </c>
      <c r="M7" t="s">
        <v>22</v>
      </c>
      <c r="N7" s="7"/>
    </row>
    <row r="8" spans="1:18" x14ac:dyDescent="0.35">
      <c r="M8" t="s">
        <v>44</v>
      </c>
      <c r="N8" s="7"/>
    </row>
    <row r="9" spans="1:18" x14ac:dyDescent="0.35">
      <c r="A9" s="8" t="s">
        <v>42</v>
      </c>
      <c r="B9" s="8"/>
      <c r="C9" s="8"/>
      <c r="D9" s="8"/>
      <c r="E9" s="8"/>
      <c r="F9" s="8"/>
      <c r="G9" s="8"/>
      <c r="H9" s="8"/>
      <c r="M9" t="s">
        <v>52</v>
      </c>
      <c r="N9" s="7"/>
    </row>
    <row r="10" spans="1:18" x14ac:dyDescent="0.35">
      <c r="B10" t="s">
        <v>8</v>
      </c>
      <c r="C10" t="s">
        <v>9</v>
      </c>
      <c r="D10" t="s">
        <v>1</v>
      </c>
      <c r="E10" t="s">
        <v>10</v>
      </c>
      <c r="G10" t="s">
        <v>43</v>
      </c>
      <c r="J10">
        <f>0.01*250</f>
        <v>2.5</v>
      </c>
      <c r="M10" t="s">
        <v>55</v>
      </c>
    </row>
    <row r="11" spans="1:18" x14ac:dyDescent="0.35">
      <c r="B11">
        <f>C11/17</f>
        <v>2.9411764705882353E-2</v>
      </c>
      <c r="C11">
        <v>0.5</v>
      </c>
      <c r="D11">
        <f xml:space="preserve"> (10000*(B11/5))/(1-(B11/5))</f>
        <v>59.171597633136088</v>
      </c>
      <c r="E11">
        <v>0.55000000000000004</v>
      </c>
      <c r="G11">
        <v>10000</v>
      </c>
    </row>
    <row r="12" spans="1:18" x14ac:dyDescent="0.35">
      <c r="B12">
        <f t="shared" ref="B12:B18" si="4">C12/17</f>
        <v>5.8823529411764705E-2</v>
      </c>
      <c r="C12">
        <v>1</v>
      </c>
      <c r="D12">
        <f t="shared" ref="D12:D18" si="5" xml:space="preserve"> (10000*(B12/5))/(1-(B12/5))</f>
        <v>119.04761904761904</v>
      </c>
      <c r="E12">
        <v>0.98</v>
      </c>
      <c r="I12">
        <f xml:space="preserve"> (68/10060)*5</f>
        <v>3.3797216699801194E-2</v>
      </c>
    </row>
    <row r="13" spans="1:18" x14ac:dyDescent="0.35">
      <c r="B13">
        <f t="shared" si="4"/>
        <v>8.8235294117647065E-2</v>
      </c>
      <c r="C13">
        <v>1.5</v>
      </c>
      <c r="D13">
        <f t="shared" si="5"/>
        <v>179.64071856287427</v>
      </c>
      <c r="E13">
        <v>1.59</v>
      </c>
    </row>
    <row r="14" spans="1:18" x14ac:dyDescent="0.35">
      <c r="B14">
        <f t="shared" si="4"/>
        <v>0.11764705882352941</v>
      </c>
      <c r="C14">
        <v>2</v>
      </c>
      <c r="D14">
        <f t="shared" si="5"/>
        <v>240.96385542168673</v>
      </c>
      <c r="I14">
        <f>0.033*17</f>
        <v>0.56100000000000005</v>
      </c>
    </row>
    <row r="15" spans="1:18" x14ac:dyDescent="0.35">
      <c r="B15">
        <f t="shared" si="4"/>
        <v>0.14705882352941177</v>
      </c>
      <c r="C15">
        <v>2.5</v>
      </c>
      <c r="D15">
        <f t="shared" si="5"/>
        <v>303.03030303030306</v>
      </c>
    </row>
    <row r="16" spans="1:18" x14ac:dyDescent="0.35">
      <c r="B16">
        <f t="shared" si="4"/>
        <v>0.17647058823529413</v>
      </c>
      <c r="C16">
        <v>3</v>
      </c>
      <c r="D16">
        <f t="shared" si="5"/>
        <v>365.85365853658539</v>
      </c>
      <c r="E16">
        <v>2.9</v>
      </c>
      <c r="M16">
        <f>4/17</f>
        <v>0.23529411764705882</v>
      </c>
    </row>
    <row r="17" spans="1:8" x14ac:dyDescent="0.35">
      <c r="B17">
        <f t="shared" si="4"/>
        <v>0.20588235294117646</v>
      </c>
      <c r="C17">
        <v>3.5</v>
      </c>
      <c r="D17">
        <f t="shared" si="5"/>
        <v>429.44785276073617</v>
      </c>
    </row>
    <row r="18" spans="1:8" x14ac:dyDescent="0.35">
      <c r="B18">
        <f t="shared" si="4"/>
        <v>0.23529411764705882</v>
      </c>
      <c r="C18">
        <v>4</v>
      </c>
      <c r="D18">
        <f t="shared" si="5"/>
        <v>493.82716049382714</v>
      </c>
      <c r="E18">
        <v>3.8</v>
      </c>
    </row>
    <row r="20" spans="1:8" x14ac:dyDescent="0.35">
      <c r="A20" s="8" t="s">
        <v>23</v>
      </c>
      <c r="B20" s="8"/>
      <c r="F20" s="8" t="s">
        <v>29</v>
      </c>
      <c r="G20" s="8"/>
    </row>
    <row r="21" spans="1:8" x14ac:dyDescent="0.35">
      <c r="A21" t="s">
        <v>24</v>
      </c>
      <c r="B21" t="s">
        <v>25</v>
      </c>
      <c r="C21" t="s">
        <v>0</v>
      </c>
      <c r="F21" t="s">
        <v>24</v>
      </c>
      <c r="G21" t="s">
        <v>31</v>
      </c>
      <c r="H21" t="s">
        <v>32</v>
      </c>
    </row>
    <row r="22" spans="1:8" x14ac:dyDescent="0.35">
      <c r="A22" t="s">
        <v>26</v>
      </c>
      <c r="B22">
        <v>0</v>
      </c>
      <c r="C22">
        <f xml:space="preserve"> B22/(50*0.01)</f>
        <v>0</v>
      </c>
      <c r="F22" t="s">
        <v>26</v>
      </c>
      <c r="G22">
        <v>0</v>
      </c>
      <c r="H22">
        <f xml:space="preserve"> 3*G22</f>
        <v>0</v>
      </c>
    </row>
    <row r="23" spans="1:8" x14ac:dyDescent="0.35">
      <c r="A23" t="s">
        <v>27</v>
      </c>
      <c r="B23">
        <v>6.0999999999999999E-2</v>
      </c>
      <c r="C23">
        <f t="shared" ref="C23:C24" si="6" xml:space="preserve"> B23/(50*0.01)</f>
        <v>0.122</v>
      </c>
      <c r="F23" t="s">
        <v>30</v>
      </c>
      <c r="G23">
        <v>3.3</v>
      </c>
      <c r="H23">
        <f xml:space="preserve"> 3*G23</f>
        <v>9.8999999999999986</v>
      </c>
    </row>
    <row r="24" spans="1:8" x14ac:dyDescent="0.35">
      <c r="A24" t="s">
        <v>28</v>
      </c>
      <c r="B24">
        <v>0.33</v>
      </c>
      <c r="C24">
        <f t="shared" si="6"/>
        <v>0.66</v>
      </c>
    </row>
    <row r="26" spans="1:8" x14ac:dyDescent="0.35">
      <c r="A26" s="8" t="s">
        <v>33</v>
      </c>
      <c r="B26" s="8"/>
      <c r="C26" s="8"/>
      <c r="D26" s="2"/>
    </row>
    <row r="27" spans="1:8" x14ac:dyDescent="0.35">
      <c r="A27" t="s">
        <v>33</v>
      </c>
      <c r="B27" t="s">
        <v>36</v>
      </c>
      <c r="C27" t="s">
        <v>37</v>
      </c>
    </row>
    <row r="28" spans="1:8" x14ac:dyDescent="0.35">
      <c r="A28" t="s">
        <v>34</v>
      </c>
      <c r="B28">
        <v>1.05</v>
      </c>
      <c r="C28">
        <f>(B28/(200*0.01))</f>
        <v>0.52500000000000002</v>
      </c>
    </row>
    <row r="29" spans="1:8" x14ac:dyDescent="0.35">
      <c r="A29" t="s">
        <v>35</v>
      </c>
      <c r="B29">
        <v>0</v>
      </c>
      <c r="C29">
        <f t="shared" ref="C29:C32" si="7">(B29/(200*0.01))</f>
        <v>0</v>
      </c>
      <c r="E29" t="s">
        <v>41</v>
      </c>
    </row>
    <row r="30" spans="1:8" x14ac:dyDescent="0.35">
      <c r="A30" t="s">
        <v>38</v>
      </c>
      <c r="B30">
        <v>1.05</v>
      </c>
      <c r="C30">
        <f t="shared" si="7"/>
        <v>0.52500000000000002</v>
      </c>
    </row>
    <row r="31" spans="1:8" x14ac:dyDescent="0.35">
      <c r="A31" t="s">
        <v>39</v>
      </c>
      <c r="B31">
        <v>1.05</v>
      </c>
      <c r="C31">
        <f t="shared" si="7"/>
        <v>0.52500000000000002</v>
      </c>
    </row>
    <row r="32" spans="1:8" x14ac:dyDescent="0.35">
      <c r="A32" t="s">
        <v>40</v>
      </c>
      <c r="B32">
        <v>1.05</v>
      </c>
      <c r="C32">
        <f t="shared" si="7"/>
        <v>0.52500000000000002</v>
      </c>
    </row>
    <row r="33" spans="1:12" x14ac:dyDescent="0.35">
      <c r="K33">
        <f>(50/150)*12</f>
        <v>4</v>
      </c>
      <c r="L33">
        <f>(150/50)*3.335</f>
        <v>10.004999999999999</v>
      </c>
    </row>
    <row r="34" spans="1:12" x14ac:dyDescent="0.35">
      <c r="A34" s="8" t="s">
        <v>44</v>
      </c>
      <c r="B34" s="8"/>
      <c r="C34" s="8"/>
      <c r="D34" s="8"/>
    </row>
    <row r="35" spans="1:12" x14ac:dyDescent="0.35">
      <c r="A35" t="s">
        <v>45</v>
      </c>
      <c r="B35" t="s">
        <v>46</v>
      </c>
      <c r="C35" t="s">
        <v>51</v>
      </c>
      <c r="D35" t="s">
        <v>47</v>
      </c>
    </row>
    <row r="36" spans="1:12" x14ac:dyDescent="0.35">
      <c r="A36" t="s">
        <v>48</v>
      </c>
      <c r="B36">
        <v>0.122</v>
      </c>
      <c r="C36">
        <v>127</v>
      </c>
      <c r="D36">
        <v>0.31</v>
      </c>
      <c r="G36">
        <f xml:space="preserve"> (C36*(4.7/4096))/(50*0.01)</f>
        <v>0.29145507812499999</v>
      </c>
    </row>
    <row r="37" spans="1:12" x14ac:dyDescent="0.35">
      <c r="A37" t="s">
        <v>49</v>
      </c>
      <c r="B37">
        <v>10</v>
      </c>
      <c r="C37">
        <v>2779</v>
      </c>
      <c r="D37">
        <v>10.177</v>
      </c>
      <c r="G37">
        <f>(C37*(4.7/4096))*3</f>
        <v>9.5663818359375004</v>
      </c>
    </row>
    <row r="38" spans="1:12" x14ac:dyDescent="0.35">
      <c r="A38" t="s">
        <v>50</v>
      </c>
      <c r="B38">
        <v>0.52500000000000002</v>
      </c>
      <c r="C38">
        <v>896</v>
      </c>
      <c r="D38">
        <f>G38/(200*0.01)</f>
        <v>0.51406249999999998</v>
      </c>
      <c r="G38">
        <f>(C38*4.7)/4096</f>
        <v>1.028125</v>
      </c>
    </row>
    <row r="40" spans="1:12" x14ac:dyDescent="0.35">
      <c r="A40" s="8" t="s">
        <v>53</v>
      </c>
      <c r="B40" s="8"/>
      <c r="C40" s="8"/>
      <c r="D40" s="8"/>
    </row>
    <row r="41" spans="1:12" x14ac:dyDescent="0.35">
      <c r="A41" t="s">
        <v>45</v>
      </c>
      <c r="B41" t="s">
        <v>46</v>
      </c>
      <c r="C41" t="s">
        <v>51</v>
      </c>
      <c r="D41" t="s">
        <v>47</v>
      </c>
    </row>
    <row r="42" spans="1:12" x14ac:dyDescent="0.35">
      <c r="A42" s="8" t="s">
        <v>54</v>
      </c>
      <c r="B42">
        <v>0.5</v>
      </c>
      <c r="C42">
        <v>505</v>
      </c>
      <c r="D42">
        <v>0.61599999999999999</v>
      </c>
      <c r="G42">
        <f>(C42*4.7)/4096</f>
        <v>0.5794677734375</v>
      </c>
    </row>
    <row r="43" spans="1:12" x14ac:dyDescent="0.35">
      <c r="A43" s="8"/>
      <c r="B43">
        <v>1</v>
      </c>
      <c r="C43">
        <v>0</v>
      </c>
      <c r="G43">
        <f t="shared" ref="G43:G46" si="8">(C43*4.7)/4096</f>
        <v>0</v>
      </c>
    </row>
    <row r="44" spans="1:12" x14ac:dyDescent="0.35">
      <c r="A44" s="8"/>
      <c r="B44">
        <v>1.67</v>
      </c>
      <c r="C44">
        <v>1473</v>
      </c>
      <c r="D44">
        <v>1.7981</v>
      </c>
      <c r="G44">
        <f t="shared" si="8"/>
        <v>1.6902099609375001</v>
      </c>
    </row>
    <row r="45" spans="1:12" x14ac:dyDescent="0.35">
      <c r="A45" s="8"/>
      <c r="B45">
        <v>2</v>
      </c>
      <c r="G45">
        <f t="shared" si="8"/>
        <v>0</v>
      </c>
    </row>
    <row r="46" spans="1:12" x14ac:dyDescent="0.35">
      <c r="A46" s="8"/>
      <c r="B46">
        <v>2.7</v>
      </c>
      <c r="C46">
        <v>2414</v>
      </c>
      <c r="D46">
        <v>2.77</v>
      </c>
      <c r="G46">
        <f t="shared" si="8"/>
        <v>2.7699707031250003</v>
      </c>
    </row>
    <row r="48" spans="1:12" x14ac:dyDescent="0.35">
      <c r="A48" s="8" t="s">
        <v>56</v>
      </c>
      <c r="B48" s="8"/>
      <c r="C48" s="8"/>
      <c r="D48" s="8"/>
    </row>
    <row r="49" spans="1:10" x14ac:dyDescent="0.35">
      <c r="A49" t="s">
        <v>45</v>
      </c>
      <c r="B49" t="s">
        <v>46</v>
      </c>
      <c r="C49" t="s">
        <v>51</v>
      </c>
      <c r="D49" t="s">
        <v>47</v>
      </c>
    </row>
    <row r="50" spans="1:10" x14ac:dyDescent="0.35">
      <c r="A50" t="s">
        <v>57</v>
      </c>
      <c r="B50">
        <v>0.52500000000000002</v>
      </c>
      <c r="C50">
        <v>882</v>
      </c>
      <c r="D50">
        <f>G50/(200*0.01)</f>
        <v>0.50603027343750007</v>
      </c>
      <c r="G50">
        <f>(C50*4.7)/4096</f>
        <v>1.0120605468750001</v>
      </c>
      <c r="J50">
        <f>2.5/0.34</f>
        <v>7.3529411764705879</v>
      </c>
    </row>
    <row r="51" spans="1:10" x14ac:dyDescent="0.35">
      <c r="A51" t="s">
        <v>58</v>
      </c>
      <c r="B51">
        <v>0</v>
      </c>
      <c r="D51">
        <f t="shared" ref="D51:D52" si="9">G51/(200*0.01)</f>
        <v>0</v>
      </c>
      <c r="G51">
        <f t="shared" ref="G51:G54" si="10">(C51*4.7)/4096</f>
        <v>0</v>
      </c>
    </row>
    <row r="52" spans="1:10" x14ac:dyDescent="0.35">
      <c r="A52" t="s">
        <v>59</v>
      </c>
      <c r="B52">
        <v>0.52500000000000002</v>
      </c>
      <c r="C52">
        <v>886</v>
      </c>
      <c r="D52">
        <f t="shared" si="9"/>
        <v>0.50832519531249998</v>
      </c>
      <c r="G52">
        <f t="shared" si="10"/>
        <v>1.016650390625</v>
      </c>
    </row>
    <row r="53" spans="1:10" x14ac:dyDescent="0.35">
      <c r="A53" t="s">
        <v>60</v>
      </c>
      <c r="B53">
        <v>0.52500000000000002</v>
      </c>
      <c r="C53">
        <v>882</v>
      </c>
      <c r="G53">
        <f t="shared" si="10"/>
        <v>1.0120605468750001</v>
      </c>
    </row>
    <row r="54" spans="1:10" x14ac:dyDescent="0.35">
      <c r="A54" t="s">
        <v>61</v>
      </c>
      <c r="B54">
        <v>2.56</v>
      </c>
      <c r="C54">
        <v>4085</v>
      </c>
      <c r="G54">
        <f t="shared" si="10"/>
        <v>4.6873779296875</v>
      </c>
    </row>
    <row r="55" spans="1:10" x14ac:dyDescent="0.35">
      <c r="A55" t="s">
        <v>62</v>
      </c>
    </row>
    <row r="56" spans="1:10" x14ac:dyDescent="0.35">
      <c r="A56" t="s">
        <v>63</v>
      </c>
    </row>
    <row r="57" spans="1:10" x14ac:dyDescent="0.35">
      <c r="A57" t="s">
        <v>64</v>
      </c>
    </row>
    <row r="58" spans="1:10" x14ac:dyDescent="0.35">
      <c r="B58" t="s">
        <v>65</v>
      </c>
    </row>
  </sheetData>
  <mergeCells count="10">
    <mergeCell ref="A40:D40"/>
    <mergeCell ref="A42:A46"/>
    <mergeCell ref="A48:D48"/>
    <mergeCell ref="A26:C26"/>
    <mergeCell ref="A34:D34"/>
    <mergeCell ref="A1:H1"/>
    <mergeCell ref="A9:H9"/>
    <mergeCell ref="M1:N1"/>
    <mergeCell ref="A20:B20"/>
    <mergeCell ref="F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Narayan</dc:creator>
  <cp:lastModifiedBy>Deepak Narayan</cp:lastModifiedBy>
  <dcterms:created xsi:type="dcterms:W3CDTF">2025-09-05T23:28:24Z</dcterms:created>
  <dcterms:modified xsi:type="dcterms:W3CDTF">2025-09-16T03:07:44Z</dcterms:modified>
</cp:coreProperties>
</file>